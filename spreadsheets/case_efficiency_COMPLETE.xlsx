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nev\OneDrive\Documents\Studies\Data Analystics\Excel Legal Project\"/>
    </mc:Choice>
  </mc:AlternateContent>
  <xr:revisionPtr revIDLastSave="0" documentId="13_ncr:1_{3DB4F88F-4FE8-4488-A58B-F33F7F03D8C0}" xr6:coauthVersionLast="47" xr6:coauthVersionMax="47" xr10:uidLastSave="{00000000-0000-0000-0000-000000000000}"/>
  <bookViews>
    <workbookView xWindow="-108" yWindow="-108" windowWidth="23256" windowHeight="12456" xr2:uid="{3A92AC69-8F85-4DFE-A1CC-8AB8FB11ADAD}"/>
  </bookViews>
  <sheets>
    <sheet name="law_firm_data" sheetId="1" r:id="rId1"/>
    <sheet name="unsettled cases" sheetId="9" r:id="rId2"/>
    <sheet name="case-experience-distrubution" sheetId="11" r:id="rId3"/>
    <sheet name="summary_statistics" sheetId="2" r:id="rId4"/>
    <sheet name="Money won" sheetId="3" r:id="rId5"/>
    <sheet name="winnings by experience" sheetId="8" r:id="rId6"/>
  </sheets>
  <definedNames>
    <definedName name="_xlnm._FilterDatabase" localSheetId="0" hidden="1">law_firm_data!$B$1:$E$101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I2" i="2"/>
  <c r="H2" i="2"/>
  <c r="G2" i="2"/>
  <c r="F2" i="2"/>
  <c r="C2" i="2"/>
  <c r="B2" i="2"/>
  <c r="A2" i="2"/>
</calcChain>
</file>

<file path=xl/sharedStrings.xml><?xml version="1.0" encoding="utf-8"?>
<sst xmlns="http://schemas.openxmlformats.org/spreadsheetml/2006/main" count="147" uniqueCount="30">
  <si>
    <t>case_type</t>
  </si>
  <si>
    <t>lawyer_experience</t>
  </si>
  <si>
    <t>claim_amount</t>
  </si>
  <si>
    <t>settled</t>
  </si>
  <si>
    <t>family</t>
  </si>
  <si>
    <t>corporate</t>
  </si>
  <si>
    <t>civil</t>
  </si>
  <si>
    <t>criminal</t>
  </si>
  <si>
    <t>row count</t>
  </si>
  <si>
    <t>claim sum</t>
  </si>
  <si>
    <t>claim average</t>
  </si>
  <si>
    <t>max experience</t>
  </si>
  <si>
    <t>min experience</t>
  </si>
  <si>
    <t>mean</t>
  </si>
  <si>
    <t>median</t>
  </si>
  <si>
    <t>mode</t>
  </si>
  <si>
    <t>case_id</t>
  </si>
  <si>
    <t>Grand Total</t>
  </si>
  <si>
    <t>Sum of claim_amount</t>
  </si>
  <si>
    <t>Average of claim_amount2</t>
  </si>
  <si>
    <t>Lawyer Experience</t>
  </si>
  <si>
    <t>1-10</t>
  </si>
  <si>
    <t>11-20</t>
  </si>
  <si>
    <t>21-30</t>
  </si>
  <si>
    <t>experience</t>
  </si>
  <si>
    <t>Sum of possible winnings</t>
  </si>
  <si>
    <t>Average possible winnings</t>
  </si>
  <si>
    <t>max values</t>
  </si>
  <si>
    <t>case type</t>
  </si>
  <si>
    <t>Count of case_type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</si>
</sst>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€-2]\ * #,##0.00_-;\-[$€-2]\ * #,##0.00_-;_-[$€-2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42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0" fillId="34" borderId="0" xfId="0" applyFill="1" applyAlignment="1">
      <alignment horizontal="center" vertical="center"/>
    </xf>
    <xf numFmtId="164" fontId="0" fillId="34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0" pivotButton="1" applyNumberForma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-[$€-2]\ * #,##0.00_-;\-[$€-2]\ * #,##0.0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vis Ennever" refreshedDate="46016.770466550923" createdVersion="8" refreshedVersion="8" minRefreshableVersion="3" recordCount="101" xr:uid="{F957DDFE-7AD4-41AD-933F-659FDF8C09B8}">
  <cacheSource type="worksheet">
    <worksheetSource ref="A1:E1048576" sheet="law_firm_data"/>
  </cacheSource>
  <cacheFields count="5">
    <cacheField name="case_id" numFmtId="0">
      <sharedItems containsString="0" containsBlank="1" containsNumber="1" containsInteger="1" minValue="1" maxValue="100"/>
    </cacheField>
    <cacheField name="case_type" numFmtId="0">
      <sharedItems containsBlank="1"/>
    </cacheField>
    <cacheField name="lawyer_experience" numFmtId="0">
      <sharedItems containsString="0" containsBlank="1" containsNumber="1" containsInteger="1" minValue="1" maxValue="29"/>
    </cacheField>
    <cacheField name="claim_amount" numFmtId="43">
      <sharedItems containsString="0" containsBlank="1" containsNumber="1" containsInteger="1" minValue="26959" maxValue="989346"/>
    </cacheField>
    <cacheField name="settled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vis Ennever" refreshedDate="46016.804070949074" createdVersion="8" refreshedVersion="8" minRefreshableVersion="3" recordCount="100" xr:uid="{A4583B42-DE2A-4AAA-B57A-E1CC144DFC8B}">
  <cacheSource type="worksheet">
    <worksheetSource ref="A1:E101" sheet="law_firm_data"/>
  </cacheSource>
  <cacheFields count="5">
    <cacheField name="case_id" numFmtId="0">
      <sharedItems containsSemiMixedTypes="0" containsString="0" containsNumber="1" containsInteger="1" minValue="1" maxValue="100"/>
    </cacheField>
    <cacheField name="case_type" numFmtId="0">
      <sharedItems count="4">
        <s v="family"/>
        <s v="corporate"/>
        <s v="civil"/>
        <s v="criminal"/>
      </sharedItems>
    </cacheField>
    <cacheField name="lawyer_experience" numFmtId="0">
      <sharedItems containsSemiMixedTypes="0" containsString="0" containsNumber="1" containsInteger="1" minValue="1" maxValue="29" count="28">
        <n v="18"/>
        <n v="26"/>
        <n v="12"/>
        <n v="2"/>
        <n v="10"/>
        <n v="4"/>
        <n v="14"/>
        <n v="16"/>
        <n v="15"/>
        <n v="8"/>
        <n v="23"/>
        <n v="28"/>
        <n v="25"/>
        <n v="21"/>
        <n v="13"/>
        <n v="24"/>
        <n v="9"/>
        <n v="29"/>
        <n v="1"/>
        <n v="7"/>
        <n v="11"/>
        <n v="19"/>
        <n v="17"/>
        <n v="3"/>
        <n v="27"/>
        <n v="5"/>
        <n v="22"/>
        <n v="20"/>
      </sharedItems>
      <fieldGroup base="2">
        <rangePr startNum="1" endNum="29" groupInterval="10"/>
        <groupItems count="5">
          <s v="&lt;1"/>
          <s v="1-10"/>
          <s v="11-20"/>
          <s v="21-30"/>
          <s v="&gt;31"/>
        </groupItems>
      </fieldGroup>
    </cacheField>
    <cacheField name="claim_amount" numFmtId="43">
      <sharedItems containsSemiMixedTypes="0" containsString="0" containsNumber="1" containsInteger="1" minValue="26959" maxValue="989346"/>
    </cacheField>
    <cacheField name="settl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s v="family"/>
    <n v="18"/>
    <n v="732270"/>
    <x v="0"/>
  </r>
  <r>
    <n v="2"/>
    <s v="corporate"/>
    <n v="26"/>
    <n v="978548"/>
    <x v="0"/>
  </r>
  <r>
    <n v="3"/>
    <s v="civil"/>
    <n v="12"/>
    <n v="203286"/>
    <x v="1"/>
  </r>
  <r>
    <n v="4"/>
    <s v="family"/>
    <n v="2"/>
    <n v="778290"/>
    <x v="1"/>
  </r>
  <r>
    <n v="5"/>
    <s v="family"/>
    <n v="10"/>
    <n v="779684"/>
    <x v="0"/>
  </r>
  <r>
    <n v="6"/>
    <s v="corporate"/>
    <n v="4"/>
    <n v="169899"/>
    <x v="1"/>
  </r>
  <r>
    <n v="7"/>
    <s v="civil"/>
    <n v="14"/>
    <n v="978324"/>
    <x v="1"/>
  </r>
  <r>
    <n v="8"/>
    <s v="civil"/>
    <n v="16"/>
    <n v="329767"/>
    <x v="1"/>
  </r>
  <r>
    <n v="9"/>
    <s v="family"/>
    <n v="15"/>
    <n v="866882"/>
    <x v="1"/>
  </r>
  <r>
    <n v="10"/>
    <s v="criminal"/>
    <n v="8"/>
    <n v="884858"/>
    <x v="0"/>
  </r>
  <r>
    <n v="11"/>
    <s v="family"/>
    <n v="14"/>
    <n v="384989"/>
    <x v="0"/>
  </r>
  <r>
    <n v="12"/>
    <s v="family"/>
    <n v="23"/>
    <n v="420515"/>
    <x v="1"/>
  </r>
  <r>
    <n v="13"/>
    <s v="family"/>
    <n v="28"/>
    <n v="48585"/>
    <x v="1"/>
  </r>
  <r>
    <n v="14"/>
    <s v="family"/>
    <n v="25"/>
    <n v="376369"/>
    <x v="0"/>
  </r>
  <r>
    <n v="15"/>
    <s v="corporate"/>
    <n v="8"/>
    <n v="69044"/>
    <x v="0"/>
  </r>
  <r>
    <n v="16"/>
    <s v="civil"/>
    <n v="21"/>
    <n v="965061"/>
    <x v="1"/>
  </r>
  <r>
    <n v="17"/>
    <s v="corporate"/>
    <n v="16"/>
    <n v="447296"/>
    <x v="0"/>
  </r>
  <r>
    <n v="18"/>
    <s v="corporate"/>
    <n v="13"/>
    <n v="114556"/>
    <x v="1"/>
  </r>
  <r>
    <n v="19"/>
    <s v="corporate"/>
    <n v="18"/>
    <n v="531981"/>
    <x v="1"/>
  </r>
  <r>
    <n v="20"/>
    <s v="family"/>
    <n v="15"/>
    <n v="886691"/>
    <x v="0"/>
  </r>
  <r>
    <n v="21"/>
    <s v="criminal"/>
    <n v="21"/>
    <n v="772595"/>
    <x v="0"/>
  </r>
  <r>
    <n v="22"/>
    <s v="civil"/>
    <n v="24"/>
    <n v="205235"/>
    <x v="1"/>
  </r>
  <r>
    <n v="23"/>
    <s v="criminal"/>
    <n v="26"/>
    <n v="30939"/>
    <x v="1"/>
  </r>
  <r>
    <n v="24"/>
    <s v="corporate"/>
    <n v="25"/>
    <n v="971429"/>
    <x v="0"/>
  </r>
  <r>
    <n v="25"/>
    <s v="corporate"/>
    <n v="28"/>
    <n v="965445"/>
    <x v="1"/>
  </r>
  <r>
    <n v="26"/>
    <s v="criminal"/>
    <n v="28"/>
    <n v="157906"/>
    <x v="0"/>
  </r>
  <r>
    <n v="27"/>
    <s v="criminal"/>
    <n v="28"/>
    <n v="547335"/>
    <x v="1"/>
  </r>
  <r>
    <n v="28"/>
    <s v="criminal"/>
    <n v="13"/>
    <n v="293249"/>
    <x v="0"/>
  </r>
  <r>
    <n v="29"/>
    <s v="corporate"/>
    <n v="9"/>
    <n v="80766"/>
    <x v="0"/>
  </r>
  <r>
    <n v="30"/>
    <s v="corporate"/>
    <n v="29"/>
    <n v="413923"/>
    <x v="0"/>
  </r>
  <r>
    <n v="31"/>
    <s v="civil"/>
    <n v="15"/>
    <n v="420192"/>
    <x v="1"/>
  </r>
  <r>
    <n v="32"/>
    <s v="civil"/>
    <n v="13"/>
    <n v="573550"/>
    <x v="1"/>
  </r>
  <r>
    <n v="33"/>
    <s v="corporate"/>
    <n v="1"/>
    <n v="392261"/>
    <x v="0"/>
  </r>
  <r>
    <n v="34"/>
    <s v="criminal"/>
    <n v="25"/>
    <n v="815208"/>
    <x v="1"/>
  </r>
  <r>
    <n v="35"/>
    <s v="criminal"/>
    <n v="7"/>
    <n v="690440"/>
    <x v="0"/>
  </r>
  <r>
    <n v="36"/>
    <s v="civil"/>
    <n v="9"/>
    <n v="657664"/>
    <x v="0"/>
  </r>
  <r>
    <n v="37"/>
    <s v="corporate"/>
    <n v="24"/>
    <n v="989346"/>
    <x v="1"/>
  </r>
  <r>
    <n v="38"/>
    <s v="civil"/>
    <n v="1"/>
    <n v="459589"/>
    <x v="1"/>
  </r>
  <r>
    <n v="39"/>
    <s v="civil"/>
    <n v="12"/>
    <n v="142848"/>
    <x v="0"/>
  </r>
  <r>
    <n v="40"/>
    <s v="family"/>
    <n v="8"/>
    <n v="622075"/>
    <x v="1"/>
  </r>
  <r>
    <n v="41"/>
    <s v="family"/>
    <n v="24"/>
    <n v="132948"/>
    <x v="1"/>
  </r>
  <r>
    <n v="42"/>
    <s v="family"/>
    <n v="11"/>
    <n v="584304"/>
    <x v="0"/>
  </r>
  <r>
    <n v="43"/>
    <s v="criminal"/>
    <n v="19"/>
    <n v="407690"/>
    <x v="0"/>
  </r>
  <r>
    <n v="44"/>
    <s v="corporate"/>
    <n v="17"/>
    <n v="504046"/>
    <x v="1"/>
  </r>
  <r>
    <n v="45"/>
    <s v="corporate"/>
    <n v="8"/>
    <n v="456269"/>
    <x v="0"/>
  </r>
  <r>
    <n v="46"/>
    <s v="corporate"/>
    <n v="3"/>
    <n v="26959"/>
    <x v="0"/>
  </r>
  <r>
    <n v="47"/>
    <s v="corporate"/>
    <n v="3"/>
    <n v="665890"/>
    <x v="1"/>
  </r>
  <r>
    <n v="48"/>
    <s v="family"/>
    <n v="1"/>
    <n v="755216"/>
    <x v="0"/>
  </r>
  <r>
    <n v="49"/>
    <s v="criminal"/>
    <n v="27"/>
    <n v="910533"/>
    <x v="0"/>
  </r>
  <r>
    <n v="50"/>
    <s v="criminal"/>
    <n v="5"/>
    <n v="795180"/>
    <x v="1"/>
  </r>
  <r>
    <n v="51"/>
    <s v="family"/>
    <n v="10"/>
    <n v="233576"/>
    <x v="1"/>
  </r>
  <r>
    <n v="52"/>
    <s v="criminal"/>
    <n v="7"/>
    <n v="542833"/>
    <x v="0"/>
  </r>
  <r>
    <n v="53"/>
    <s v="family"/>
    <n v="26"/>
    <n v="919091"/>
    <x v="0"/>
  </r>
  <r>
    <n v="54"/>
    <s v="corporate"/>
    <n v="9"/>
    <n v="988703"/>
    <x v="1"/>
  </r>
  <r>
    <n v="55"/>
    <s v="family"/>
    <n v="28"/>
    <n v="170838"/>
    <x v="1"/>
  </r>
  <r>
    <n v="56"/>
    <s v="corporate"/>
    <n v="7"/>
    <n v="340674"/>
    <x v="1"/>
  </r>
  <r>
    <n v="57"/>
    <s v="corporate"/>
    <n v="9"/>
    <n v="884989"/>
    <x v="1"/>
  </r>
  <r>
    <n v="58"/>
    <s v="civil"/>
    <n v="8"/>
    <n v="66087"/>
    <x v="0"/>
  </r>
  <r>
    <n v="59"/>
    <s v="family"/>
    <n v="12"/>
    <n v="598128"/>
    <x v="1"/>
  </r>
  <r>
    <n v="60"/>
    <s v="civil"/>
    <n v="2"/>
    <n v="123451"/>
    <x v="1"/>
  </r>
  <r>
    <n v="61"/>
    <s v="family"/>
    <n v="1"/>
    <n v="452600"/>
    <x v="0"/>
  </r>
  <r>
    <n v="62"/>
    <s v="family"/>
    <n v="16"/>
    <n v="842437"/>
    <x v="1"/>
  </r>
  <r>
    <n v="63"/>
    <s v="civil"/>
    <n v="23"/>
    <n v="444792"/>
    <x v="0"/>
  </r>
  <r>
    <n v="64"/>
    <s v="civil"/>
    <n v="23"/>
    <n v="44353"/>
    <x v="1"/>
  </r>
  <r>
    <n v="65"/>
    <s v="family"/>
    <n v="24"/>
    <n v="198075"/>
    <x v="1"/>
  </r>
  <r>
    <n v="66"/>
    <s v="criminal"/>
    <n v="5"/>
    <n v="219283"/>
    <x v="1"/>
  </r>
  <r>
    <n v="67"/>
    <s v="corporate"/>
    <n v="3"/>
    <n v="319877"/>
    <x v="0"/>
  </r>
  <r>
    <n v="68"/>
    <s v="civil"/>
    <n v="12"/>
    <n v="70318"/>
    <x v="0"/>
  </r>
  <r>
    <n v="69"/>
    <s v="corporate"/>
    <n v="8"/>
    <n v="770313"/>
    <x v="1"/>
  </r>
  <r>
    <n v="70"/>
    <s v="criminal"/>
    <n v="22"/>
    <n v="487690"/>
    <x v="0"/>
  </r>
  <r>
    <n v="71"/>
    <s v="criminal"/>
    <n v="27"/>
    <n v="421880"/>
    <x v="0"/>
  </r>
  <r>
    <n v="72"/>
    <s v="criminal"/>
    <n v="3"/>
    <n v="596460"/>
    <x v="0"/>
  </r>
  <r>
    <n v="73"/>
    <s v="civil"/>
    <n v="1"/>
    <n v="745976"/>
    <x v="0"/>
  </r>
  <r>
    <n v="74"/>
    <s v="criminal"/>
    <n v="3"/>
    <n v="786239"/>
    <x v="0"/>
  </r>
  <r>
    <n v="75"/>
    <s v="civil"/>
    <n v="5"/>
    <n v="98264"/>
    <x v="0"/>
  </r>
  <r>
    <n v="76"/>
    <s v="criminal"/>
    <n v="15"/>
    <n v="775746"/>
    <x v="1"/>
  </r>
  <r>
    <n v="77"/>
    <s v="corporate"/>
    <n v="14"/>
    <n v="818168"/>
    <x v="1"/>
  </r>
  <r>
    <n v="78"/>
    <s v="corporate"/>
    <n v="3"/>
    <n v="230281"/>
    <x v="0"/>
  </r>
  <r>
    <n v="79"/>
    <s v="family"/>
    <n v="1"/>
    <n v="642147"/>
    <x v="1"/>
  </r>
  <r>
    <n v="80"/>
    <s v="corporate"/>
    <n v="5"/>
    <n v="903613"/>
    <x v="1"/>
  </r>
  <r>
    <n v="81"/>
    <s v="family"/>
    <n v="26"/>
    <n v="399070"/>
    <x v="1"/>
  </r>
  <r>
    <n v="82"/>
    <s v="corporate"/>
    <n v="23"/>
    <n v="357228"/>
    <x v="1"/>
  </r>
  <r>
    <n v="83"/>
    <s v="civil"/>
    <n v="14"/>
    <n v="436839"/>
    <x v="0"/>
  </r>
  <r>
    <n v="84"/>
    <s v="corporate"/>
    <n v="7"/>
    <n v="274536"/>
    <x v="1"/>
  </r>
  <r>
    <n v="85"/>
    <s v="family"/>
    <n v="27"/>
    <n v="322824"/>
    <x v="1"/>
  </r>
  <r>
    <n v="86"/>
    <s v="family"/>
    <n v="9"/>
    <n v="262426"/>
    <x v="0"/>
  </r>
  <r>
    <n v="87"/>
    <s v="criminal"/>
    <n v="15"/>
    <n v="182789"/>
    <x v="0"/>
  </r>
  <r>
    <n v="88"/>
    <s v="civil"/>
    <n v="15"/>
    <n v="518153"/>
    <x v="1"/>
  </r>
  <r>
    <n v="89"/>
    <s v="corporate"/>
    <n v="26"/>
    <n v="747452"/>
    <x v="1"/>
  </r>
  <r>
    <n v="90"/>
    <s v="criminal"/>
    <n v="10"/>
    <n v="842291"/>
    <x v="1"/>
  </r>
  <r>
    <n v="91"/>
    <s v="corporate"/>
    <n v="28"/>
    <n v="130657"/>
    <x v="1"/>
  </r>
  <r>
    <n v="92"/>
    <s v="corporate"/>
    <n v="13"/>
    <n v="240167"/>
    <x v="1"/>
  </r>
  <r>
    <n v="93"/>
    <s v="criminal"/>
    <n v="19"/>
    <n v="686669"/>
    <x v="1"/>
  </r>
  <r>
    <n v="94"/>
    <s v="criminal"/>
    <n v="7"/>
    <n v="485671"/>
    <x v="0"/>
  </r>
  <r>
    <n v="95"/>
    <s v="criminal"/>
    <n v="17"/>
    <n v="724094"/>
    <x v="1"/>
  </r>
  <r>
    <n v="96"/>
    <s v="criminal"/>
    <n v="20"/>
    <n v="75467"/>
    <x v="1"/>
  </r>
  <r>
    <n v="97"/>
    <s v="criminal"/>
    <n v="29"/>
    <n v="188734"/>
    <x v="0"/>
  </r>
  <r>
    <n v="98"/>
    <s v="corporate"/>
    <n v="4"/>
    <n v="627794"/>
    <x v="0"/>
  </r>
  <r>
    <n v="99"/>
    <s v="criminal"/>
    <n v="5"/>
    <n v="114751"/>
    <x v="0"/>
  </r>
  <r>
    <n v="100"/>
    <s v="civil"/>
    <n v="23"/>
    <n v="386050"/>
    <x v="0"/>
  </r>
  <r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n v="732270"/>
    <x v="0"/>
  </r>
  <r>
    <n v="2"/>
    <x v="1"/>
    <x v="1"/>
    <n v="978548"/>
    <x v="0"/>
  </r>
  <r>
    <n v="3"/>
    <x v="2"/>
    <x v="2"/>
    <n v="203286"/>
    <x v="1"/>
  </r>
  <r>
    <n v="4"/>
    <x v="0"/>
    <x v="3"/>
    <n v="778290"/>
    <x v="1"/>
  </r>
  <r>
    <n v="5"/>
    <x v="0"/>
    <x v="4"/>
    <n v="779684"/>
    <x v="0"/>
  </r>
  <r>
    <n v="6"/>
    <x v="1"/>
    <x v="5"/>
    <n v="169899"/>
    <x v="1"/>
  </r>
  <r>
    <n v="7"/>
    <x v="2"/>
    <x v="6"/>
    <n v="978324"/>
    <x v="1"/>
  </r>
  <r>
    <n v="8"/>
    <x v="2"/>
    <x v="7"/>
    <n v="329767"/>
    <x v="1"/>
  </r>
  <r>
    <n v="9"/>
    <x v="0"/>
    <x v="8"/>
    <n v="866882"/>
    <x v="1"/>
  </r>
  <r>
    <n v="10"/>
    <x v="3"/>
    <x v="9"/>
    <n v="884858"/>
    <x v="0"/>
  </r>
  <r>
    <n v="11"/>
    <x v="0"/>
    <x v="6"/>
    <n v="384989"/>
    <x v="0"/>
  </r>
  <r>
    <n v="12"/>
    <x v="0"/>
    <x v="10"/>
    <n v="420515"/>
    <x v="1"/>
  </r>
  <r>
    <n v="13"/>
    <x v="0"/>
    <x v="11"/>
    <n v="48585"/>
    <x v="1"/>
  </r>
  <r>
    <n v="14"/>
    <x v="0"/>
    <x v="12"/>
    <n v="376369"/>
    <x v="0"/>
  </r>
  <r>
    <n v="15"/>
    <x v="1"/>
    <x v="9"/>
    <n v="69044"/>
    <x v="0"/>
  </r>
  <r>
    <n v="16"/>
    <x v="2"/>
    <x v="13"/>
    <n v="965061"/>
    <x v="1"/>
  </r>
  <r>
    <n v="17"/>
    <x v="1"/>
    <x v="7"/>
    <n v="447296"/>
    <x v="0"/>
  </r>
  <r>
    <n v="18"/>
    <x v="1"/>
    <x v="14"/>
    <n v="114556"/>
    <x v="1"/>
  </r>
  <r>
    <n v="19"/>
    <x v="1"/>
    <x v="0"/>
    <n v="531981"/>
    <x v="1"/>
  </r>
  <r>
    <n v="20"/>
    <x v="0"/>
    <x v="8"/>
    <n v="886691"/>
    <x v="0"/>
  </r>
  <r>
    <n v="21"/>
    <x v="3"/>
    <x v="13"/>
    <n v="772595"/>
    <x v="0"/>
  </r>
  <r>
    <n v="22"/>
    <x v="2"/>
    <x v="15"/>
    <n v="205235"/>
    <x v="1"/>
  </r>
  <r>
    <n v="23"/>
    <x v="3"/>
    <x v="1"/>
    <n v="30939"/>
    <x v="1"/>
  </r>
  <r>
    <n v="24"/>
    <x v="1"/>
    <x v="12"/>
    <n v="971429"/>
    <x v="0"/>
  </r>
  <r>
    <n v="25"/>
    <x v="1"/>
    <x v="11"/>
    <n v="965445"/>
    <x v="1"/>
  </r>
  <r>
    <n v="26"/>
    <x v="3"/>
    <x v="11"/>
    <n v="157906"/>
    <x v="0"/>
  </r>
  <r>
    <n v="27"/>
    <x v="3"/>
    <x v="11"/>
    <n v="547335"/>
    <x v="1"/>
  </r>
  <r>
    <n v="28"/>
    <x v="3"/>
    <x v="14"/>
    <n v="293249"/>
    <x v="0"/>
  </r>
  <r>
    <n v="29"/>
    <x v="1"/>
    <x v="16"/>
    <n v="80766"/>
    <x v="0"/>
  </r>
  <r>
    <n v="30"/>
    <x v="1"/>
    <x v="17"/>
    <n v="413923"/>
    <x v="0"/>
  </r>
  <r>
    <n v="31"/>
    <x v="2"/>
    <x v="8"/>
    <n v="420192"/>
    <x v="1"/>
  </r>
  <r>
    <n v="32"/>
    <x v="2"/>
    <x v="14"/>
    <n v="573550"/>
    <x v="1"/>
  </r>
  <r>
    <n v="33"/>
    <x v="1"/>
    <x v="18"/>
    <n v="392261"/>
    <x v="0"/>
  </r>
  <r>
    <n v="34"/>
    <x v="3"/>
    <x v="12"/>
    <n v="815208"/>
    <x v="1"/>
  </r>
  <r>
    <n v="35"/>
    <x v="3"/>
    <x v="19"/>
    <n v="690440"/>
    <x v="0"/>
  </r>
  <r>
    <n v="36"/>
    <x v="2"/>
    <x v="16"/>
    <n v="657664"/>
    <x v="0"/>
  </r>
  <r>
    <n v="37"/>
    <x v="1"/>
    <x v="15"/>
    <n v="989346"/>
    <x v="1"/>
  </r>
  <r>
    <n v="38"/>
    <x v="2"/>
    <x v="18"/>
    <n v="459589"/>
    <x v="1"/>
  </r>
  <r>
    <n v="39"/>
    <x v="2"/>
    <x v="2"/>
    <n v="142848"/>
    <x v="0"/>
  </r>
  <r>
    <n v="40"/>
    <x v="0"/>
    <x v="9"/>
    <n v="622075"/>
    <x v="1"/>
  </r>
  <r>
    <n v="41"/>
    <x v="0"/>
    <x v="15"/>
    <n v="132948"/>
    <x v="1"/>
  </r>
  <r>
    <n v="42"/>
    <x v="0"/>
    <x v="20"/>
    <n v="584304"/>
    <x v="0"/>
  </r>
  <r>
    <n v="43"/>
    <x v="3"/>
    <x v="21"/>
    <n v="407690"/>
    <x v="0"/>
  </r>
  <r>
    <n v="44"/>
    <x v="1"/>
    <x v="22"/>
    <n v="504046"/>
    <x v="1"/>
  </r>
  <r>
    <n v="45"/>
    <x v="1"/>
    <x v="9"/>
    <n v="456269"/>
    <x v="0"/>
  </r>
  <r>
    <n v="46"/>
    <x v="1"/>
    <x v="23"/>
    <n v="26959"/>
    <x v="0"/>
  </r>
  <r>
    <n v="47"/>
    <x v="1"/>
    <x v="23"/>
    <n v="665890"/>
    <x v="1"/>
  </r>
  <r>
    <n v="48"/>
    <x v="0"/>
    <x v="18"/>
    <n v="755216"/>
    <x v="0"/>
  </r>
  <r>
    <n v="49"/>
    <x v="3"/>
    <x v="24"/>
    <n v="910533"/>
    <x v="0"/>
  </r>
  <r>
    <n v="50"/>
    <x v="3"/>
    <x v="25"/>
    <n v="795180"/>
    <x v="1"/>
  </r>
  <r>
    <n v="51"/>
    <x v="0"/>
    <x v="4"/>
    <n v="233576"/>
    <x v="1"/>
  </r>
  <r>
    <n v="52"/>
    <x v="3"/>
    <x v="19"/>
    <n v="542833"/>
    <x v="0"/>
  </r>
  <r>
    <n v="53"/>
    <x v="0"/>
    <x v="1"/>
    <n v="919091"/>
    <x v="0"/>
  </r>
  <r>
    <n v="54"/>
    <x v="1"/>
    <x v="16"/>
    <n v="988703"/>
    <x v="1"/>
  </r>
  <r>
    <n v="55"/>
    <x v="0"/>
    <x v="11"/>
    <n v="170838"/>
    <x v="1"/>
  </r>
  <r>
    <n v="56"/>
    <x v="1"/>
    <x v="19"/>
    <n v="340674"/>
    <x v="1"/>
  </r>
  <r>
    <n v="57"/>
    <x v="1"/>
    <x v="16"/>
    <n v="884989"/>
    <x v="1"/>
  </r>
  <r>
    <n v="58"/>
    <x v="2"/>
    <x v="9"/>
    <n v="66087"/>
    <x v="0"/>
  </r>
  <r>
    <n v="59"/>
    <x v="0"/>
    <x v="2"/>
    <n v="598128"/>
    <x v="1"/>
  </r>
  <r>
    <n v="60"/>
    <x v="2"/>
    <x v="3"/>
    <n v="123451"/>
    <x v="1"/>
  </r>
  <r>
    <n v="61"/>
    <x v="0"/>
    <x v="18"/>
    <n v="452600"/>
    <x v="0"/>
  </r>
  <r>
    <n v="62"/>
    <x v="0"/>
    <x v="7"/>
    <n v="842437"/>
    <x v="1"/>
  </r>
  <r>
    <n v="63"/>
    <x v="2"/>
    <x v="10"/>
    <n v="444792"/>
    <x v="0"/>
  </r>
  <r>
    <n v="64"/>
    <x v="2"/>
    <x v="10"/>
    <n v="44353"/>
    <x v="1"/>
  </r>
  <r>
    <n v="65"/>
    <x v="0"/>
    <x v="15"/>
    <n v="198075"/>
    <x v="1"/>
  </r>
  <r>
    <n v="66"/>
    <x v="3"/>
    <x v="25"/>
    <n v="219283"/>
    <x v="1"/>
  </r>
  <r>
    <n v="67"/>
    <x v="1"/>
    <x v="23"/>
    <n v="319877"/>
    <x v="0"/>
  </r>
  <r>
    <n v="68"/>
    <x v="2"/>
    <x v="2"/>
    <n v="70318"/>
    <x v="0"/>
  </r>
  <r>
    <n v="69"/>
    <x v="1"/>
    <x v="9"/>
    <n v="770313"/>
    <x v="1"/>
  </r>
  <r>
    <n v="70"/>
    <x v="3"/>
    <x v="26"/>
    <n v="487690"/>
    <x v="0"/>
  </r>
  <r>
    <n v="71"/>
    <x v="3"/>
    <x v="24"/>
    <n v="421880"/>
    <x v="0"/>
  </r>
  <r>
    <n v="72"/>
    <x v="3"/>
    <x v="23"/>
    <n v="596460"/>
    <x v="0"/>
  </r>
  <r>
    <n v="73"/>
    <x v="2"/>
    <x v="18"/>
    <n v="745976"/>
    <x v="0"/>
  </r>
  <r>
    <n v="74"/>
    <x v="3"/>
    <x v="23"/>
    <n v="786239"/>
    <x v="0"/>
  </r>
  <r>
    <n v="75"/>
    <x v="2"/>
    <x v="25"/>
    <n v="98264"/>
    <x v="0"/>
  </r>
  <r>
    <n v="76"/>
    <x v="3"/>
    <x v="8"/>
    <n v="775746"/>
    <x v="1"/>
  </r>
  <r>
    <n v="77"/>
    <x v="1"/>
    <x v="6"/>
    <n v="818168"/>
    <x v="1"/>
  </r>
  <r>
    <n v="78"/>
    <x v="1"/>
    <x v="23"/>
    <n v="230281"/>
    <x v="0"/>
  </r>
  <r>
    <n v="79"/>
    <x v="0"/>
    <x v="18"/>
    <n v="642147"/>
    <x v="1"/>
  </r>
  <r>
    <n v="80"/>
    <x v="1"/>
    <x v="25"/>
    <n v="903613"/>
    <x v="1"/>
  </r>
  <r>
    <n v="81"/>
    <x v="0"/>
    <x v="1"/>
    <n v="399070"/>
    <x v="1"/>
  </r>
  <r>
    <n v="82"/>
    <x v="1"/>
    <x v="10"/>
    <n v="357228"/>
    <x v="1"/>
  </r>
  <r>
    <n v="83"/>
    <x v="2"/>
    <x v="6"/>
    <n v="436839"/>
    <x v="0"/>
  </r>
  <r>
    <n v="84"/>
    <x v="1"/>
    <x v="19"/>
    <n v="274536"/>
    <x v="1"/>
  </r>
  <r>
    <n v="85"/>
    <x v="0"/>
    <x v="24"/>
    <n v="322824"/>
    <x v="1"/>
  </r>
  <r>
    <n v="86"/>
    <x v="0"/>
    <x v="16"/>
    <n v="262426"/>
    <x v="0"/>
  </r>
  <r>
    <n v="87"/>
    <x v="3"/>
    <x v="8"/>
    <n v="182789"/>
    <x v="0"/>
  </r>
  <r>
    <n v="88"/>
    <x v="2"/>
    <x v="8"/>
    <n v="518153"/>
    <x v="1"/>
  </r>
  <r>
    <n v="89"/>
    <x v="1"/>
    <x v="1"/>
    <n v="747452"/>
    <x v="1"/>
  </r>
  <r>
    <n v="90"/>
    <x v="3"/>
    <x v="4"/>
    <n v="842291"/>
    <x v="1"/>
  </r>
  <r>
    <n v="91"/>
    <x v="1"/>
    <x v="11"/>
    <n v="130657"/>
    <x v="1"/>
  </r>
  <r>
    <n v="92"/>
    <x v="1"/>
    <x v="14"/>
    <n v="240167"/>
    <x v="1"/>
  </r>
  <r>
    <n v="93"/>
    <x v="3"/>
    <x v="21"/>
    <n v="686669"/>
    <x v="1"/>
  </r>
  <r>
    <n v="94"/>
    <x v="3"/>
    <x v="19"/>
    <n v="485671"/>
    <x v="0"/>
  </r>
  <r>
    <n v="95"/>
    <x v="3"/>
    <x v="22"/>
    <n v="724094"/>
    <x v="1"/>
  </r>
  <r>
    <n v="96"/>
    <x v="3"/>
    <x v="27"/>
    <n v="75467"/>
    <x v="1"/>
  </r>
  <r>
    <n v="97"/>
    <x v="3"/>
    <x v="17"/>
    <n v="188734"/>
    <x v="0"/>
  </r>
  <r>
    <n v="98"/>
    <x v="1"/>
    <x v="5"/>
    <n v="627794"/>
    <x v="0"/>
  </r>
  <r>
    <n v="99"/>
    <x v="3"/>
    <x v="25"/>
    <n v="114751"/>
    <x v="0"/>
  </r>
  <r>
    <n v="100"/>
    <x v="2"/>
    <x v="10"/>
    <n v="3860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E346E-29EC-4873-A534-4B7FF1E123F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ence">
  <location ref="A3:D7" firstHeaderRow="0" firstDataRow="1" firstDataCol="1" rowPageCount="1" colPageCount="1"/>
  <pivotFields count="5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43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item="0" hier="-1"/>
  </pageFields>
  <dataFields count="3">
    <dataField name="Sum of possible winnings" fld="3" baseField="0" baseItem="0" numFmtId="43"/>
    <dataField name="Average possible winnings" fld="3" subtotal="average" baseField="2" baseItem="1" numFmtId="43"/>
    <dataField name="max values" fld="3" subtotal="max" baseField="2" baseItem="1" numFmtId="43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AD08A-F579-4E1D-803E-23B52F0DCC1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se type" colHeaderCaption="Lawyer Experience">
  <location ref="A3:E9" firstHeaderRow="1" firstDataRow="2" firstDataCol="1" rowPageCount="1" colPageCount="1"/>
  <pivotFields count="5">
    <pivotField showAll="0"/>
    <pivotField axis="axisRow" dataField="1" showAll="0">
      <items count="5">
        <item x="2"/>
        <item x="1"/>
        <item x="3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numFmtId="43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pageFields count="1">
    <pageField fld="4" item="0" hier="-1"/>
  </pageFields>
  <dataFields count="1">
    <dataField name="Count of case_type" fld="1" subtotal="count" baseField="0" baseItem="0"/>
  </dataFields>
  <formats count="28">
    <format dxfId="37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36">
      <pivotArea field="2" type="button" dataOnly="0" labelOnly="1" outline="0" axis="axisCol" fieldPosition="0"/>
    </format>
    <format dxfId="35">
      <pivotArea dataOnly="0" labelOnly="1" fieldPosition="0">
        <references count="1">
          <reference field="2" count="1">
            <x v="1"/>
          </reference>
        </references>
      </pivotArea>
    </format>
    <format dxfId="34">
      <pivotArea outline="0" collapsedLevelsAreSubtotals="1" fieldPosition="0">
        <references count="1">
          <reference field="2" count="1" selected="0">
            <x v="2"/>
          </reference>
        </references>
      </pivotArea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2" count="1">
            <x v="2"/>
          </reference>
        </references>
      </pivotArea>
    </format>
    <format dxfId="31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30">
      <pivotArea grandCol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2" count="3">
            <x v="1"/>
            <x v="2"/>
            <x v="3"/>
          </reference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3">
            <x v="1"/>
            <x v="2"/>
            <x v="3"/>
          </reference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94F7E-41A7-407B-8B86-2F9B810B86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ttled">
  <location ref="A3:B6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4">
        <item x="0"/>
        <item x="1"/>
        <item h="1"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laim_amount" fld="3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BE811-BEDA-4EC7-BFAE-11EA85A327E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wyer Experience">
  <location ref="A3:C7" firstHeaderRow="0" firstDataRow="1" firstDataCol="1" rowPageCount="1" colPageCount="1"/>
  <pivotFields count="5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43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" hier="-1"/>
  </pageFields>
  <dataFields count="2">
    <dataField name="Sum of claim_amount" fld="3" baseField="0" baseItem="0" numFmtId="43"/>
    <dataField name="Average of claim_amount2" fld="3" subtotal="average" baseField="2" baseItem="0" numFmtId="43"/>
  </dataFields>
  <formats count="5"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12B6-BD55-4B8C-9AFE-CED8A76B2477}">
  <dimension ref="A1:J101"/>
  <sheetViews>
    <sheetView tabSelected="1" zoomScale="90" zoomScaleNormal="90" workbookViewId="0">
      <selection activeCell="I11" sqref="I11"/>
    </sheetView>
  </sheetViews>
  <sheetFormatPr defaultRowHeight="14.4" x14ac:dyDescent="0.3"/>
  <cols>
    <col min="2" max="2" width="13.6640625" customWidth="1"/>
    <col min="3" max="3" width="19.33203125" customWidth="1"/>
    <col min="4" max="4" width="21.6640625" style="1" customWidth="1"/>
    <col min="5" max="5" width="16.5546875" customWidth="1"/>
    <col min="7" max="7" width="11.33203125" customWidth="1"/>
    <col min="8" max="8" width="18" customWidth="1"/>
    <col min="9" max="9" width="15.21875" customWidth="1"/>
    <col min="10" max="10" width="5.6640625" style="5" customWidth="1"/>
    <col min="11" max="11" width="13" customWidth="1"/>
    <col min="12" max="12" width="16.88671875" customWidth="1"/>
    <col min="13" max="13" width="16.21875" customWidth="1"/>
  </cols>
  <sheetData>
    <row r="1" spans="1:8" x14ac:dyDescent="0.3">
      <c r="A1" t="s">
        <v>16</v>
      </c>
      <c r="B1" t="s">
        <v>0</v>
      </c>
      <c r="C1" t="s">
        <v>1</v>
      </c>
      <c r="D1" s="1" t="s">
        <v>2</v>
      </c>
      <c r="E1" t="s">
        <v>3</v>
      </c>
    </row>
    <row r="2" spans="1:8" x14ac:dyDescent="0.3">
      <c r="A2">
        <v>1</v>
      </c>
      <c r="B2" t="s">
        <v>4</v>
      </c>
      <c r="C2">
        <v>18</v>
      </c>
      <c r="D2" s="1">
        <v>732270</v>
      </c>
      <c r="E2">
        <v>0</v>
      </c>
    </row>
    <row r="3" spans="1:8" x14ac:dyDescent="0.3">
      <c r="A3">
        <v>2</v>
      </c>
      <c r="B3" t="s">
        <v>5</v>
      </c>
      <c r="C3">
        <v>26</v>
      </c>
      <c r="D3" s="1">
        <v>978548</v>
      </c>
      <c r="E3">
        <v>0</v>
      </c>
      <c r="H3" s="3"/>
    </row>
    <row r="4" spans="1:8" x14ac:dyDescent="0.3">
      <c r="A4">
        <v>3</v>
      </c>
      <c r="B4" t="s">
        <v>6</v>
      </c>
      <c r="C4">
        <v>12</v>
      </c>
      <c r="D4" s="1">
        <v>203286</v>
      </c>
      <c r="E4">
        <v>1</v>
      </c>
      <c r="H4" s="2"/>
    </row>
    <row r="5" spans="1:8" x14ac:dyDescent="0.3">
      <c r="A5">
        <v>4</v>
      </c>
      <c r="B5" t="s">
        <v>4</v>
      </c>
      <c r="C5">
        <v>2</v>
      </c>
      <c r="D5" s="1">
        <v>778290</v>
      </c>
      <c r="E5">
        <v>1</v>
      </c>
    </row>
    <row r="6" spans="1:8" x14ac:dyDescent="0.3">
      <c r="A6">
        <v>5</v>
      </c>
      <c r="B6" t="s">
        <v>4</v>
      </c>
      <c r="C6">
        <v>10</v>
      </c>
      <c r="D6" s="1">
        <v>779684</v>
      </c>
      <c r="E6">
        <v>0</v>
      </c>
    </row>
    <row r="7" spans="1:8" x14ac:dyDescent="0.3">
      <c r="A7">
        <v>6</v>
      </c>
      <c r="B7" t="s">
        <v>5</v>
      </c>
      <c r="C7">
        <v>4</v>
      </c>
      <c r="D7" s="1">
        <v>169899</v>
      </c>
      <c r="E7">
        <v>1</v>
      </c>
    </row>
    <row r="8" spans="1:8" x14ac:dyDescent="0.3">
      <c r="A8">
        <v>7</v>
      </c>
      <c r="B8" t="s">
        <v>6</v>
      </c>
      <c r="C8">
        <v>14</v>
      </c>
      <c r="D8" s="1">
        <v>978324</v>
      </c>
      <c r="E8">
        <v>1</v>
      </c>
    </row>
    <row r="9" spans="1:8" x14ac:dyDescent="0.3">
      <c r="A9">
        <v>8</v>
      </c>
      <c r="B9" t="s">
        <v>6</v>
      </c>
      <c r="C9">
        <v>16</v>
      </c>
      <c r="D9" s="1">
        <v>329767</v>
      </c>
      <c r="E9">
        <v>1</v>
      </c>
    </row>
    <row r="10" spans="1:8" x14ac:dyDescent="0.3">
      <c r="A10">
        <v>9</v>
      </c>
      <c r="B10" t="s">
        <v>4</v>
      </c>
      <c r="C10">
        <v>15</v>
      </c>
      <c r="D10" s="1">
        <v>866882</v>
      </c>
      <c r="E10">
        <v>1</v>
      </c>
    </row>
    <row r="11" spans="1:8" x14ac:dyDescent="0.3">
      <c r="A11">
        <v>10</v>
      </c>
      <c r="B11" t="s">
        <v>7</v>
      </c>
      <c r="C11">
        <v>8</v>
      </c>
      <c r="D11" s="1">
        <v>884858</v>
      </c>
      <c r="E11">
        <v>0</v>
      </c>
    </row>
    <row r="12" spans="1:8" x14ac:dyDescent="0.3">
      <c r="A12">
        <v>11</v>
      </c>
      <c r="B12" t="s">
        <v>4</v>
      </c>
      <c r="C12">
        <v>14</v>
      </c>
      <c r="D12" s="1">
        <v>384989</v>
      </c>
      <c r="E12">
        <v>0</v>
      </c>
    </row>
    <row r="13" spans="1:8" x14ac:dyDescent="0.3">
      <c r="A13">
        <v>12</v>
      </c>
      <c r="B13" t="s">
        <v>4</v>
      </c>
      <c r="C13">
        <v>23</v>
      </c>
      <c r="D13" s="1">
        <v>420515</v>
      </c>
      <c r="E13">
        <v>1</v>
      </c>
    </row>
    <row r="14" spans="1:8" x14ac:dyDescent="0.3">
      <c r="A14">
        <v>13</v>
      </c>
      <c r="B14" t="s">
        <v>4</v>
      </c>
      <c r="C14">
        <v>28</v>
      </c>
      <c r="D14" s="1">
        <v>48585</v>
      </c>
      <c r="E14">
        <v>1</v>
      </c>
    </row>
    <row r="15" spans="1:8" x14ac:dyDescent="0.3">
      <c r="A15">
        <v>14</v>
      </c>
      <c r="B15" t="s">
        <v>4</v>
      </c>
      <c r="C15">
        <v>25</v>
      </c>
      <c r="D15" s="1">
        <v>376369</v>
      </c>
      <c r="E15">
        <v>0</v>
      </c>
    </row>
    <row r="16" spans="1:8" x14ac:dyDescent="0.3">
      <c r="A16">
        <v>15</v>
      </c>
      <c r="B16" t="s">
        <v>5</v>
      </c>
      <c r="C16">
        <v>8</v>
      </c>
      <c r="D16" s="1">
        <v>69044</v>
      </c>
      <c r="E16">
        <v>0</v>
      </c>
    </row>
    <row r="17" spans="1:5" x14ac:dyDescent="0.3">
      <c r="A17">
        <v>16</v>
      </c>
      <c r="B17" t="s">
        <v>6</v>
      </c>
      <c r="C17">
        <v>21</v>
      </c>
      <c r="D17" s="1">
        <v>965061</v>
      </c>
      <c r="E17">
        <v>1</v>
      </c>
    </row>
    <row r="18" spans="1:5" x14ac:dyDescent="0.3">
      <c r="A18">
        <v>17</v>
      </c>
      <c r="B18" t="s">
        <v>5</v>
      </c>
      <c r="C18">
        <v>16</v>
      </c>
      <c r="D18" s="1">
        <v>447296</v>
      </c>
      <c r="E18">
        <v>0</v>
      </c>
    </row>
    <row r="19" spans="1:5" x14ac:dyDescent="0.3">
      <c r="A19">
        <v>18</v>
      </c>
      <c r="B19" t="s">
        <v>5</v>
      </c>
      <c r="C19">
        <v>13</v>
      </c>
      <c r="D19" s="1">
        <v>114556</v>
      </c>
      <c r="E19">
        <v>1</v>
      </c>
    </row>
    <row r="20" spans="1:5" x14ac:dyDescent="0.3">
      <c r="A20">
        <v>19</v>
      </c>
      <c r="B20" t="s">
        <v>5</v>
      </c>
      <c r="C20">
        <v>18</v>
      </c>
      <c r="D20" s="1">
        <v>531981</v>
      </c>
      <c r="E20">
        <v>1</v>
      </c>
    </row>
    <row r="21" spans="1:5" x14ac:dyDescent="0.3">
      <c r="A21">
        <v>20</v>
      </c>
      <c r="B21" t="s">
        <v>4</v>
      </c>
      <c r="C21">
        <v>15</v>
      </c>
      <c r="D21" s="1">
        <v>886691</v>
      </c>
      <c r="E21">
        <v>0</v>
      </c>
    </row>
    <row r="22" spans="1:5" x14ac:dyDescent="0.3">
      <c r="A22">
        <v>21</v>
      </c>
      <c r="B22" t="s">
        <v>7</v>
      </c>
      <c r="C22">
        <v>21</v>
      </c>
      <c r="D22" s="1">
        <v>772595</v>
      </c>
      <c r="E22">
        <v>0</v>
      </c>
    </row>
    <row r="23" spans="1:5" x14ac:dyDescent="0.3">
      <c r="A23">
        <v>22</v>
      </c>
      <c r="B23" t="s">
        <v>6</v>
      </c>
      <c r="C23">
        <v>24</v>
      </c>
      <c r="D23" s="1">
        <v>205235</v>
      </c>
      <c r="E23">
        <v>1</v>
      </c>
    </row>
    <row r="24" spans="1:5" x14ac:dyDescent="0.3">
      <c r="A24">
        <v>23</v>
      </c>
      <c r="B24" t="s">
        <v>7</v>
      </c>
      <c r="C24">
        <v>26</v>
      </c>
      <c r="D24" s="1">
        <v>30939</v>
      </c>
      <c r="E24">
        <v>1</v>
      </c>
    </row>
    <row r="25" spans="1:5" x14ac:dyDescent="0.3">
      <c r="A25">
        <v>24</v>
      </c>
      <c r="B25" t="s">
        <v>5</v>
      </c>
      <c r="C25">
        <v>25</v>
      </c>
      <c r="D25" s="1">
        <v>971429</v>
      </c>
      <c r="E25">
        <v>0</v>
      </c>
    </row>
    <row r="26" spans="1:5" x14ac:dyDescent="0.3">
      <c r="A26">
        <v>25</v>
      </c>
      <c r="B26" t="s">
        <v>5</v>
      </c>
      <c r="C26">
        <v>28</v>
      </c>
      <c r="D26" s="1">
        <v>965445</v>
      </c>
      <c r="E26">
        <v>1</v>
      </c>
    </row>
    <row r="27" spans="1:5" x14ac:dyDescent="0.3">
      <c r="A27">
        <v>26</v>
      </c>
      <c r="B27" t="s">
        <v>7</v>
      </c>
      <c r="C27">
        <v>28</v>
      </c>
      <c r="D27" s="1">
        <v>157906</v>
      </c>
      <c r="E27">
        <v>0</v>
      </c>
    </row>
    <row r="28" spans="1:5" x14ac:dyDescent="0.3">
      <c r="A28">
        <v>27</v>
      </c>
      <c r="B28" t="s">
        <v>7</v>
      </c>
      <c r="C28">
        <v>28</v>
      </c>
      <c r="D28" s="1">
        <v>547335</v>
      </c>
      <c r="E28">
        <v>1</v>
      </c>
    </row>
    <row r="29" spans="1:5" x14ac:dyDescent="0.3">
      <c r="A29">
        <v>28</v>
      </c>
      <c r="B29" t="s">
        <v>7</v>
      </c>
      <c r="C29">
        <v>13</v>
      </c>
      <c r="D29" s="1">
        <v>293249</v>
      </c>
      <c r="E29">
        <v>0</v>
      </c>
    </row>
    <row r="30" spans="1:5" x14ac:dyDescent="0.3">
      <c r="A30">
        <v>29</v>
      </c>
      <c r="B30" t="s">
        <v>5</v>
      </c>
      <c r="C30">
        <v>9</v>
      </c>
      <c r="D30" s="1">
        <v>80766</v>
      </c>
      <c r="E30">
        <v>0</v>
      </c>
    </row>
    <row r="31" spans="1:5" x14ac:dyDescent="0.3">
      <c r="A31">
        <v>30</v>
      </c>
      <c r="B31" t="s">
        <v>5</v>
      </c>
      <c r="C31">
        <v>29</v>
      </c>
      <c r="D31" s="1">
        <v>413923</v>
      </c>
      <c r="E31">
        <v>0</v>
      </c>
    </row>
    <row r="32" spans="1:5" x14ac:dyDescent="0.3">
      <c r="A32">
        <v>31</v>
      </c>
      <c r="B32" t="s">
        <v>6</v>
      </c>
      <c r="C32">
        <v>15</v>
      </c>
      <c r="D32" s="1">
        <v>420192</v>
      </c>
      <c r="E32">
        <v>1</v>
      </c>
    </row>
    <row r="33" spans="1:5" x14ac:dyDescent="0.3">
      <c r="A33">
        <v>32</v>
      </c>
      <c r="B33" t="s">
        <v>6</v>
      </c>
      <c r="C33">
        <v>13</v>
      </c>
      <c r="D33" s="1">
        <v>573550</v>
      </c>
      <c r="E33">
        <v>1</v>
      </c>
    </row>
    <row r="34" spans="1:5" x14ac:dyDescent="0.3">
      <c r="A34">
        <v>33</v>
      </c>
      <c r="B34" t="s">
        <v>5</v>
      </c>
      <c r="C34">
        <v>1</v>
      </c>
      <c r="D34" s="1">
        <v>392261</v>
      </c>
      <c r="E34">
        <v>0</v>
      </c>
    </row>
    <row r="35" spans="1:5" x14ac:dyDescent="0.3">
      <c r="A35">
        <v>34</v>
      </c>
      <c r="B35" t="s">
        <v>7</v>
      </c>
      <c r="C35">
        <v>25</v>
      </c>
      <c r="D35" s="1">
        <v>815208</v>
      </c>
      <c r="E35">
        <v>1</v>
      </c>
    </row>
    <row r="36" spans="1:5" x14ac:dyDescent="0.3">
      <c r="A36">
        <v>35</v>
      </c>
      <c r="B36" t="s">
        <v>7</v>
      </c>
      <c r="C36">
        <v>7</v>
      </c>
      <c r="D36" s="1">
        <v>690440</v>
      </c>
      <c r="E36">
        <v>0</v>
      </c>
    </row>
    <row r="37" spans="1:5" x14ac:dyDescent="0.3">
      <c r="A37">
        <v>36</v>
      </c>
      <c r="B37" t="s">
        <v>6</v>
      </c>
      <c r="C37">
        <v>9</v>
      </c>
      <c r="D37" s="1">
        <v>657664</v>
      </c>
      <c r="E37">
        <v>0</v>
      </c>
    </row>
    <row r="38" spans="1:5" x14ac:dyDescent="0.3">
      <c r="A38">
        <v>37</v>
      </c>
      <c r="B38" t="s">
        <v>5</v>
      </c>
      <c r="C38">
        <v>24</v>
      </c>
      <c r="D38" s="1">
        <v>989346</v>
      </c>
      <c r="E38">
        <v>1</v>
      </c>
    </row>
    <row r="39" spans="1:5" x14ac:dyDescent="0.3">
      <c r="A39">
        <v>38</v>
      </c>
      <c r="B39" t="s">
        <v>6</v>
      </c>
      <c r="C39">
        <v>1</v>
      </c>
      <c r="D39" s="1">
        <v>459589</v>
      </c>
      <c r="E39">
        <v>1</v>
      </c>
    </row>
    <row r="40" spans="1:5" x14ac:dyDescent="0.3">
      <c r="A40">
        <v>39</v>
      </c>
      <c r="B40" t="s">
        <v>6</v>
      </c>
      <c r="C40">
        <v>12</v>
      </c>
      <c r="D40" s="1">
        <v>142848</v>
      </c>
      <c r="E40">
        <v>0</v>
      </c>
    </row>
    <row r="41" spans="1:5" x14ac:dyDescent="0.3">
      <c r="A41">
        <v>40</v>
      </c>
      <c r="B41" t="s">
        <v>4</v>
      </c>
      <c r="C41">
        <v>8</v>
      </c>
      <c r="D41" s="1">
        <v>622075</v>
      </c>
      <c r="E41">
        <v>1</v>
      </c>
    </row>
    <row r="42" spans="1:5" x14ac:dyDescent="0.3">
      <c r="A42">
        <v>41</v>
      </c>
      <c r="B42" t="s">
        <v>4</v>
      </c>
      <c r="C42">
        <v>24</v>
      </c>
      <c r="D42" s="1">
        <v>132948</v>
      </c>
      <c r="E42">
        <v>1</v>
      </c>
    </row>
    <row r="43" spans="1:5" x14ac:dyDescent="0.3">
      <c r="A43">
        <v>42</v>
      </c>
      <c r="B43" t="s">
        <v>4</v>
      </c>
      <c r="C43">
        <v>11</v>
      </c>
      <c r="D43" s="1">
        <v>584304</v>
      </c>
      <c r="E43">
        <v>0</v>
      </c>
    </row>
    <row r="44" spans="1:5" x14ac:dyDescent="0.3">
      <c r="A44">
        <v>43</v>
      </c>
      <c r="B44" t="s">
        <v>7</v>
      </c>
      <c r="C44">
        <v>19</v>
      </c>
      <c r="D44" s="1">
        <v>407690</v>
      </c>
      <c r="E44">
        <v>0</v>
      </c>
    </row>
    <row r="45" spans="1:5" x14ac:dyDescent="0.3">
      <c r="A45">
        <v>44</v>
      </c>
      <c r="B45" t="s">
        <v>5</v>
      </c>
      <c r="C45">
        <v>17</v>
      </c>
      <c r="D45" s="1">
        <v>504046</v>
      </c>
      <c r="E45">
        <v>1</v>
      </c>
    </row>
    <row r="46" spans="1:5" x14ac:dyDescent="0.3">
      <c r="A46">
        <v>45</v>
      </c>
      <c r="B46" t="s">
        <v>5</v>
      </c>
      <c r="C46">
        <v>8</v>
      </c>
      <c r="D46" s="1">
        <v>456269</v>
      </c>
      <c r="E46">
        <v>0</v>
      </c>
    </row>
    <row r="47" spans="1:5" x14ac:dyDescent="0.3">
      <c r="A47">
        <v>46</v>
      </c>
      <c r="B47" t="s">
        <v>5</v>
      </c>
      <c r="C47">
        <v>3</v>
      </c>
      <c r="D47" s="1">
        <v>26959</v>
      </c>
      <c r="E47">
        <v>0</v>
      </c>
    </row>
    <row r="48" spans="1:5" x14ac:dyDescent="0.3">
      <c r="A48">
        <v>47</v>
      </c>
      <c r="B48" t="s">
        <v>5</v>
      </c>
      <c r="C48">
        <v>3</v>
      </c>
      <c r="D48" s="1">
        <v>665890</v>
      </c>
      <c r="E48">
        <v>1</v>
      </c>
    </row>
    <row r="49" spans="1:5" x14ac:dyDescent="0.3">
      <c r="A49">
        <v>48</v>
      </c>
      <c r="B49" t="s">
        <v>4</v>
      </c>
      <c r="C49">
        <v>1</v>
      </c>
      <c r="D49" s="1">
        <v>755216</v>
      </c>
      <c r="E49">
        <v>0</v>
      </c>
    </row>
    <row r="50" spans="1:5" x14ac:dyDescent="0.3">
      <c r="A50">
        <v>49</v>
      </c>
      <c r="B50" t="s">
        <v>7</v>
      </c>
      <c r="C50">
        <v>27</v>
      </c>
      <c r="D50" s="1">
        <v>910533</v>
      </c>
      <c r="E50">
        <v>0</v>
      </c>
    </row>
    <row r="51" spans="1:5" x14ac:dyDescent="0.3">
      <c r="A51">
        <v>50</v>
      </c>
      <c r="B51" t="s">
        <v>7</v>
      </c>
      <c r="C51">
        <v>5</v>
      </c>
      <c r="D51" s="1">
        <v>795180</v>
      </c>
      <c r="E51">
        <v>1</v>
      </c>
    </row>
    <row r="52" spans="1:5" x14ac:dyDescent="0.3">
      <c r="A52">
        <v>51</v>
      </c>
      <c r="B52" t="s">
        <v>4</v>
      </c>
      <c r="C52">
        <v>10</v>
      </c>
      <c r="D52" s="1">
        <v>233576</v>
      </c>
      <c r="E52">
        <v>1</v>
      </c>
    </row>
    <row r="53" spans="1:5" x14ac:dyDescent="0.3">
      <c r="A53">
        <v>52</v>
      </c>
      <c r="B53" t="s">
        <v>7</v>
      </c>
      <c r="C53">
        <v>7</v>
      </c>
      <c r="D53" s="1">
        <v>542833</v>
      </c>
      <c r="E53">
        <v>0</v>
      </c>
    </row>
    <row r="54" spans="1:5" x14ac:dyDescent="0.3">
      <c r="A54">
        <v>53</v>
      </c>
      <c r="B54" t="s">
        <v>4</v>
      </c>
      <c r="C54">
        <v>26</v>
      </c>
      <c r="D54" s="1">
        <v>919091</v>
      </c>
      <c r="E54">
        <v>0</v>
      </c>
    </row>
    <row r="55" spans="1:5" x14ac:dyDescent="0.3">
      <c r="A55">
        <v>54</v>
      </c>
      <c r="B55" t="s">
        <v>5</v>
      </c>
      <c r="C55">
        <v>9</v>
      </c>
      <c r="D55" s="1">
        <v>988703</v>
      </c>
      <c r="E55">
        <v>1</v>
      </c>
    </row>
    <row r="56" spans="1:5" x14ac:dyDescent="0.3">
      <c r="A56">
        <v>55</v>
      </c>
      <c r="B56" t="s">
        <v>4</v>
      </c>
      <c r="C56">
        <v>28</v>
      </c>
      <c r="D56" s="1">
        <v>170838</v>
      </c>
      <c r="E56">
        <v>1</v>
      </c>
    </row>
    <row r="57" spans="1:5" x14ac:dyDescent="0.3">
      <c r="A57">
        <v>56</v>
      </c>
      <c r="B57" t="s">
        <v>5</v>
      </c>
      <c r="C57">
        <v>7</v>
      </c>
      <c r="D57" s="1">
        <v>340674</v>
      </c>
      <c r="E57">
        <v>1</v>
      </c>
    </row>
    <row r="58" spans="1:5" x14ac:dyDescent="0.3">
      <c r="A58">
        <v>57</v>
      </c>
      <c r="B58" t="s">
        <v>5</v>
      </c>
      <c r="C58">
        <v>9</v>
      </c>
      <c r="D58" s="1">
        <v>884989</v>
      </c>
      <c r="E58">
        <v>1</v>
      </c>
    </row>
    <row r="59" spans="1:5" x14ac:dyDescent="0.3">
      <c r="A59">
        <v>58</v>
      </c>
      <c r="B59" t="s">
        <v>6</v>
      </c>
      <c r="C59">
        <v>8</v>
      </c>
      <c r="D59" s="1">
        <v>66087</v>
      </c>
      <c r="E59">
        <v>0</v>
      </c>
    </row>
    <row r="60" spans="1:5" x14ac:dyDescent="0.3">
      <c r="A60">
        <v>59</v>
      </c>
      <c r="B60" t="s">
        <v>4</v>
      </c>
      <c r="C60">
        <v>12</v>
      </c>
      <c r="D60" s="1">
        <v>598128</v>
      </c>
      <c r="E60">
        <v>1</v>
      </c>
    </row>
    <row r="61" spans="1:5" x14ac:dyDescent="0.3">
      <c r="A61">
        <v>60</v>
      </c>
      <c r="B61" t="s">
        <v>6</v>
      </c>
      <c r="C61">
        <v>2</v>
      </c>
      <c r="D61" s="1">
        <v>123451</v>
      </c>
      <c r="E61">
        <v>1</v>
      </c>
    </row>
    <row r="62" spans="1:5" x14ac:dyDescent="0.3">
      <c r="A62">
        <v>61</v>
      </c>
      <c r="B62" t="s">
        <v>4</v>
      </c>
      <c r="C62">
        <v>1</v>
      </c>
      <c r="D62" s="1">
        <v>452600</v>
      </c>
      <c r="E62">
        <v>0</v>
      </c>
    </row>
    <row r="63" spans="1:5" x14ac:dyDescent="0.3">
      <c r="A63">
        <v>62</v>
      </c>
      <c r="B63" t="s">
        <v>4</v>
      </c>
      <c r="C63">
        <v>16</v>
      </c>
      <c r="D63" s="1">
        <v>842437</v>
      </c>
      <c r="E63">
        <v>1</v>
      </c>
    </row>
    <row r="64" spans="1:5" x14ac:dyDescent="0.3">
      <c r="A64">
        <v>63</v>
      </c>
      <c r="B64" t="s">
        <v>6</v>
      </c>
      <c r="C64">
        <v>23</v>
      </c>
      <c r="D64" s="1">
        <v>444792</v>
      </c>
      <c r="E64">
        <v>0</v>
      </c>
    </row>
    <row r="65" spans="1:5" x14ac:dyDescent="0.3">
      <c r="A65">
        <v>64</v>
      </c>
      <c r="B65" t="s">
        <v>6</v>
      </c>
      <c r="C65">
        <v>23</v>
      </c>
      <c r="D65" s="1">
        <v>44353</v>
      </c>
      <c r="E65">
        <v>1</v>
      </c>
    </row>
    <row r="66" spans="1:5" x14ac:dyDescent="0.3">
      <c r="A66">
        <v>65</v>
      </c>
      <c r="B66" t="s">
        <v>4</v>
      </c>
      <c r="C66">
        <v>24</v>
      </c>
      <c r="D66" s="1">
        <v>198075</v>
      </c>
      <c r="E66">
        <v>1</v>
      </c>
    </row>
    <row r="67" spans="1:5" x14ac:dyDescent="0.3">
      <c r="A67">
        <v>66</v>
      </c>
      <c r="B67" t="s">
        <v>7</v>
      </c>
      <c r="C67">
        <v>5</v>
      </c>
      <c r="D67" s="1">
        <v>219283</v>
      </c>
      <c r="E67">
        <v>1</v>
      </c>
    </row>
    <row r="68" spans="1:5" x14ac:dyDescent="0.3">
      <c r="A68">
        <v>67</v>
      </c>
      <c r="B68" t="s">
        <v>5</v>
      </c>
      <c r="C68">
        <v>3</v>
      </c>
      <c r="D68" s="1">
        <v>319877</v>
      </c>
      <c r="E68">
        <v>0</v>
      </c>
    </row>
    <row r="69" spans="1:5" x14ac:dyDescent="0.3">
      <c r="A69">
        <v>68</v>
      </c>
      <c r="B69" t="s">
        <v>6</v>
      </c>
      <c r="C69">
        <v>12</v>
      </c>
      <c r="D69" s="1">
        <v>70318</v>
      </c>
      <c r="E69">
        <v>0</v>
      </c>
    </row>
    <row r="70" spans="1:5" x14ac:dyDescent="0.3">
      <c r="A70">
        <v>69</v>
      </c>
      <c r="B70" t="s">
        <v>5</v>
      </c>
      <c r="C70">
        <v>8</v>
      </c>
      <c r="D70" s="1">
        <v>770313</v>
      </c>
      <c r="E70">
        <v>1</v>
      </c>
    </row>
    <row r="71" spans="1:5" x14ac:dyDescent="0.3">
      <c r="A71">
        <v>70</v>
      </c>
      <c r="B71" t="s">
        <v>7</v>
      </c>
      <c r="C71">
        <v>22</v>
      </c>
      <c r="D71" s="1">
        <v>487690</v>
      </c>
      <c r="E71">
        <v>0</v>
      </c>
    </row>
    <row r="72" spans="1:5" x14ac:dyDescent="0.3">
      <c r="A72">
        <v>71</v>
      </c>
      <c r="B72" t="s">
        <v>7</v>
      </c>
      <c r="C72">
        <v>27</v>
      </c>
      <c r="D72" s="1">
        <v>421880</v>
      </c>
      <c r="E72">
        <v>0</v>
      </c>
    </row>
    <row r="73" spans="1:5" x14ac:dyDescent="0.3">
      <c r="A73">
        <v>72</v>
      </c>
      <c r="B73" t="s">
        <v>7</v>
      </c>
      <c r="C73">
        <v>3</v>
      </c>
      <c r="D73" s="1">
        <v>596460</v>
      </c>
      <c r="E73">
        <v>0</v>
      </c>
    </row>
    <row r="74" spans="1:5" x14ac:dyDescent="0.3">
      <c r="A74">
        <v>73</v>
      </c>
      <c r="B74" t="s">
        <v>6</v>
      </c>
      <c r="C74">
        <v>1</v>
      </c>
      <c r="D74" s="1">
        <v>745976</v>
      </c>
      <c r="E74">
        <v>0</v>
      </c>
    </row>
    <row r="75" spans="1:5" x14ac:dyDescent="0.3">
      <c r="A75">
        <v>74</v>
      </c>
      <c r="B75" t="s">
        <v>7</v>
      </c>
      <c r="C75">
        <v>3</v>
      </c>
      <c r="D75" s="1">
        <v>786239</v>
      </c>
      <c r="E75">
        <v>0</v>
      </c>
    </row>
    <row r="76" spans="1:5" x14ac:dyDescent="0.3">
      <c r="A76">
        <v>75</v>
      </c>
      <c r="B76" t="s">
        <v>6</v>
      </c>
      <c r="C76">
        <v>5</v>
      </c>
      <c r="D76" s="1">
        <v>98264</v>
      </c>
      <c r="E76">
        <v>0</v>
      </c>
    </row>
    <row r="77" spans="1:5" x14ac:dyDescent="0.3">
      <c r="A77">
        <v>76</v>
      </c>
      <c r="B77" t="s">
        <v>7</v>
      </c>
      <c r="C77">
        <v>15</v>
      </c>
      <c r="D77" s="1">
        <v>775746</v>
      </c>
      <c r="E77">
        <v>1</v>
      </c>
    </row>
    <row r="78" spans="1:5" x14ac:dyDescent="0.3">
      <c r="A78">
        <v>77</v>
      </c>
      <c r="B78" t="s">
        <v>5</v>
      </c>
      <c r="C78">
        <v>14</v>
      </c>
      <c r="D78" s="1">
        <v>818168</v>
      </c>
      <c r="E78">
        <v>1</v>
      </c>
    </row>
    <row r="79" spans="1:5" x14ac:dyDescent="0.3">
      <c r="A79">
        <v>78</v>
      </c>
      <c r="B79" t="s">
        <v>5</v>
      </c>
      <c r="C79">
        <v>3</v>
      </c>
      <c r="D79" s="1">
        <v>230281</v>
      </c>
      <c r="E79">
        <v>0</v>
      </c>
    </row>
    <row r="80" spans="1:5" x14ac:dyDescent="0.3">
      <c r="A80">
        <v>79</v>
      </c>
      <c r="B80" t="s">
        <v>4</v>
      </c>
      <c r="C80">
        <v>1</v>
      </c>
      <c r="D80" s="1">
        <v>642147</v>
      </c>
      <c r="E80">
        <v>1</v>
      </c>
    </row>
    <row r="81" spans="1:5" x14ac:dyDescent="0.3">
      <c r="A81">
        <v>80</v>
      </c>
      <c r="B81" t="s">
        <v>5</v>
      </c>
      <c r="C81">
        <v>5</v>
      </c>
      <c r="D81" s="1">
        <v>903613</v>
      </c>
      <c r="E81">
        <v>1</v>
      </c>
    </row>
    <row r="82" spans="1:5" x14ac:dyDescent="0.3">
      <c r="A82">
        <v>81</v>
      </c>
      <c r="B82" t="s">
        <v>4</v>
      </c>
      <c r="C82">
        <v>26</v>
      </c>
      <c r="D82" s="1">
        <v>399070</v>
      </c>
      <c r="E82">
        <v>1</v>
      </c>
    </row>
    <row r="83" spans="1:5" x14ac:dyDescent="0.3">
      <c r="A83">
        <v>82</v>
      </c>
      <c r="B83" t="s">
        <v>5</v>
      </c>
      <c r="C83">
        <v>23</v>
      </c>
      <c r="D83" s="1">
        <v>357228</v>
      </c>
      <c r="E83">
        <v>1</v>
      </c>
    </row>
    <row r="84" spans="1:5" x14ac:dyDescent="0.3">
      <c r="A84">
        <v>83</v>
      </c>
      <c r="B84" t="s">
        <v>6</v>
      </c>
      <c r="C84">
        <v>14</v>
      </c>
      <c r="D84" s="1">
        <v>436839</v>
      </c>
      <c r="E84">
        <v>0</v>
      </c>
    </row>
    <row r="85" spans="1:5" x14ac:dyDescent="0.3">
      <c r="A85">
        <v>84</v>
      </c>
      <c r="B85" t="s">
        <v>5</v>
      </c>
      <c r="C85">
        <v>7</v>
      </c>
      <c r="D85" s="1">
        <v>274536</v>
      </c>
      <c r="E85">
        <v>1</v>
      </c>
    </row>
    <row r="86" spans="1:5" x14ac:dyDescent="0.3">
      <c r="A86">
        <v>85</v>
      </c>
      <c r="B86" t="s">
        <v>4</v>
      </c>
      <c r="C86">
        <v>27</v>
      </c>
      <c r="D86" s="1">
        <v>322824</v>
      </c>
      <c r="E86">
        <v>1</v>
      </c>
    </row>
    <row r="87" spans="1:5" x14ac:dyDescent="0.3">
      <c r="A87">
        <v>86</v>
      </c>
      <c r="B87" t="s">
        <v>4</v>
      </c>
      <c r="C87">
        <v>9</v>
      </c>
      <c r="D87" s="1">
        <v>262426</v>
      </c>
      <c r="E87">
        <v>0</v>
      </c>
    </row>
    <row r="88" spans="1:5" x14ac:dyDescent="0.3">
      <c r="A88">
        <v>87</v>
      </c>
      <c r="B88" t="s">
        <v>7</v>
      </c>
      <c r="C88">
        <v>15</v>
      </c>
      <c r="D88" s="1">
        <v>182789</v>
      </c>
      <c r="E88">
        <v>0</v>
      </c>
    </row>
    <row r="89" spans="1:5" x14ac:dyDescent="0.3">
      <c r="A89">
        <v>88</v>
      </c>
      <c r="B89" t="s">
        <v>6</v>
      </c>
      <c r="C89">
        <v>15</v>
      </c>
      <c r="D89" s="1">
        <v>518153</v>
      </c>
      <c r="E89">
        <v>1</v>
      </c>
    </row>
    <row r="90" spans="1:5" x14ac:dyDescent="0.3">
      <c r="A90">
        <v>89</v>
      </c>
      <c r="B90" t="s">
        <v>5</v>
      </c>
      <c r="C90">
        <v>26</v>
      </c>
      <c r="D90" s="1">
        <v>747452</v>
      </c>
      <c r="E90">
        <v>1</v>
      </c>
    </row>
    <row r="91" spans="1:5" x14ac:dyDescent="0.3">
      <c r="A91">
        <v>90</v>
      </c>
      <c r="B91" t="s">
        <v>7</v>
      </c>
      <c r="C91">
        <v>10</v>
      </c>
      <c r="D91" s="1">
        <v>842291</v>
      </c>
      <c r="E91">
        <v>1</v>
      </c>
    </row>
    <row r="92" spans="1:5" x14ac:dyDescent="0.3">
      <c r="A92">
        <v>91</v>
      </c>
      <c r="B92" t="s">
        <v>5</v>
      </c>
      <c r="C92">
        <v>28</v>
      </c>
      <c r="D92" s="1">
        <v>130657</v>
      </c>
      <c r="E92">
        <v>1</v>
      </c>
    </row>
    <row r="93" spans="1:5" x14ac:dyDescent="0.3">
      <c r="A93">
        <v>92</v>
      </c>
      <c r="B93" t="s">
        <v>5</v>
      </c>
      <c r="C93">
        <v>13</v>
      </c>
      <c r="D93" s="1">
        <v>240167</v>
      </c>
      <c r="E93">
        <v>1</v>
      </c>
    </row>
    <row r="94" spans="1:5" x14ac:dyDescent="0.3">
      <c r="A94">
        <v>93</v>
      </c>
      <c r="B94" t="s">
        <v>7</v>
      </c>
      <c r="C94">
        <v>19</v>
      </c>
      <c r="D94" s="1">
        <v>686669</v>
      </c>
      <c r="E94">
        <v>1</v>
      </c>
    </row>
    <row r="95" spans="1:5" x14ac:dyDescent="0.3">
      <c r="A95">
        <v>94</v>
      </c>
      <c r="B95" t="s">
        <v>7</v>
      </c>
      <c r="C95">
        <v>7</v>
      </c>
      <c r="D95" s="1">
        <v>485671</v>
      </c>
      <c r="E95">
        <v>0</v>
      </c>
    </row>
    <row r="96" spans="1:5" x14ac:dyDescent="0.3">
      <c r="A96">
        <v>95</v>
      </c>
      <c r="B96" t="s">
        <v>7</v>
      </c>
      <c r="C96">
        <v>17</v>
      </c>
      <c r="D96" s="1">
        <v>724094</v>
      </c>
      <c r="E96">
        <v>1</v>
      </c>
    </row>
    <row r="97" spans="1:5" x14ac:dyDescent="0.3">
      <c r="A97">
        <v>96</v>
      </c>
      <c r="B97" t="s">
        <v>7</v>
      </c>
      <c r="C97">
        <v>20</v>
      </c>
      <c r="D97" s="1">
        <v>75467</v>
      </c>
      <c r="E97">
        <v>1</v>
      </c>
    </row>
    <row r="98" spans="1:5" x14ac:dyDescent="0.3">
      <c r="A98">
        <v>97</v>
      </c>
      <c r="B98" t="s">
        <v>7</v>
      </c>
      <c r="C98">
        <v>29</v>
      </c>
      <c r="D98" s="1">
        <v>188734</v>
      </c>
      <c r="E98">
        <v>0</v>
      </c>
    </row>
    <row r="99" spans="1:5" x14ac:dyDescent="0.3">
      <c r="A99">
        <v>98</v>
      </c>
      <c r="B99" t="s">
        <v>5</v>
      </c>
      <c r="C99">
        <v>4</v>
      </c>
      <c r="D99" s="1">
        <v>627794</v>
      </c>
      <c r="E99">
        <v>0</v>
      </c>
    </row>
    <row r="100" spans="1:5" x14ac:dyDescent="0.3">
      <c r="A100">
        <v>99</v>
      </c>
      <c r="B100" t="s">
        <v>7</v>
      </c>
      <c r="C100">
        <v>5</v>
      </c>
      <c r="D100" s="1">
        <v>114751</v>
      </c>
      <c r="E100">
        <v>0</v>
      </c>
    </row>
    <row r="101" spans="1:5" x14ac:dyDescent="0.3">
      <c r="A101">
        <v>100</v>
      </c>
      <c r="B101" t="s">
        <v>6</v>
      </c>
      <c r="C101">
        <v>23</v>
      </c>
      <c r="D101" s="1">
        <v>386050</v>
      </c>
      <c r="E101">
        <v>0</v>
      </c>
    </row>
  </sheetData>
  <autoFilter ref="B1:E101" xr:uid="{45A112B6-BD55-4B8C-9AFE-CED8A76B2477}"/>
  <conditionalFormatting sqref="C1:C1048576">
    <cfRule type="cellIs" dxfId="2" priority="1" operator="lessThan">
      <formula>14</formula>
    </cfRule>
    <cfRule type="cellIs" dxfId="1" priority="2" operator="between">
      <formula>14</formula>
      <formula>19</formula>
    </cfRule>
    <cfRule type="cellIs" dxfId="0" priority="3" operator="between">
      <formula>20</formula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1CFC-8125-4225-98D4-826FB766861C}">
  <dimension ref="A1:D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2" customWidth="1"/>
    <col min="3" max="3" width="24" bestFit="1" customWidth="1"/>
    <col min="4" max="4" width="21.33203125" bestFit="1" customWidth="1"/>
  </cols>
  <sheetData>
    <row r="1" spans="1:4" x14ac:dyDescent="0.3">
      <c r="A1" s="10" t="s">
        <v>3</v>
      </c>
      <c r="B1" s="11">
        <v>0</v>
      </c>
    </row>
    <row r="3" spans="1:4" x14ac:dyDescent="0.3">
      <c r="A3" s="10" t="s">
        <v>24</v>
      </c>
      <c r="B3" t="s">
        <v>25</v>
      </c>
      <c r="C3" t="s">
        <v>26</v>
      </c>
      <c r="D3" t="s">
        <v>27</v>
      </c>
    </row>
    <row r="4" spans="1:4" x14ac:dyDescent="0.3">
      <c r="A4" s="11" t="s">
        <v>21</v>
      </c>
      <c r="B4" s="5">
        <v>10122420</v>
      </c>
      <c r="C4" s="5">
        <v>440105.21739130432</v>
      </c>
      <c r="D4" s="5">
        <v>884858</v>
      </c>
    </row>
    <row r="5" spans="1:4" x14ac:dyDescent="0.3">
      <c r="A5" s="11" t="s">
        <v>22</v>
      </c>
      <c r="B5" s="5">
        <v>4569283</v>
      </c>
      <c r="C5" s="5">
        <v>415389.36363636365</v>
      </c>
      <c r="D5" s="5">
        <v>886691</v>
      </c>
    </row>
    <row r="6" spans="1:4" x14ac:dyDescent="0.3">
      <c r="A6" s="11" t="s">
        <v>23</v>
      </c>
      <c r="B6" s="5">
        <v>7429540</v>
      </c>
      <c r="C6" s="5">
        <v>571503.07692307688</v>
      </c>
      <c r="D6" s="5">
        <v>978548</v>
      </c>
    </row>
    <row r="7" spans="1:4" x14ac:dyDescent="0.3">
      <c r="A7" s="11" t="s">
        <v>17</v>
      </c>
      <c r="B7" s="5">
        <v>22121243</v>
      </c>
      <c r="C7" s="5">
        <v>470664.74468085106</v>
      </c>
      <c r="D7" s="5">
        <v>978548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7A8E-FD4F-46E1-B9AD-DDBBFECBC2B1}">
  <dimension ref="A1:E9"/>
  <sheetViews>
    <sheetView workbookViewId="0">
      <selection activeCell="D19" sqref="D19"/>
    </sheetView>
  </sheetViews>
  <sheetFormatPr defaultRowHeight="14.4" x14ac:dyDescent="0.3"/>
  <cols>
    <col min="1" max="1" width="17.44140625" bestFit="1" customWidth="1"/>
    <col min="2" max="2" width="23.44140625" style="14" customWidth="1"/>
    <col min="3" max="3" width="11.5546875" style="14" customWidth="1"/>
    <col min="4" max="4" width="11.77734375" style="14" customWidth="1"/>
    <col min="5" max="5" width="13.109375" style="14" customWidth="1"/>
  </cols>
  <sheetData>
    <row r="1" spans="1:5" x14ac:dyDescent="0.3">
      <c r="A1" s="10" t="s">
        <v>3</v>
      </c>
      <c r="B1" s="11">
        <v>0</v>
      </c>
    </row>
    <row r="2" spans="1:5" x14ac:dyDescent="0.3">
      <c r="A2" s="2"/>
      <c r="B2" s="15"/>
      <c r="C2" s="15"/>
      <c r="D2" s="15"/>
      <c r="E2" s="15"/>
    </row>
    <row r="3" spans="1:5" x14ac:dyDescent="0.3">
      <c r="A3" s="16" t="s">
        <v>29</v>
      </c>
      <c r="B3" s="17" t="s">
        <v>20</v>
      </c>
      <c r="C3" s="15"/>
      <c r="D3" s="15"/>
      <c r="E3" s="15"/>
    </row>
    <row r="4" spans="1:5" x14ac:dyDescent="0.3">
      <c r="A4" s="16" t="s">
        <v>28</v>
      </c>
      <c r="B4" s="15" t="s">
        <v>21</v>
      </c>
      <c r="C4" s="15" t="s">
        <v>22</v>
      </c>
      <c r="D4" s="2" t="s">
        <v>23</v>
      </c>
      <c r="E4" s="2" t="s">
        <v>17</v>
      </c>
    </row>
    <row r="5" spans="1:5" x14ac:dyDescent="0.3">
      <c r="A5" s="2" t="s">
        <v>6</v>
      </c>
      <c r="B5" s="15">
        <v>4</v>
      </c>
      <c r="C5" s="15">
        <v>3</v>
      </c>
      <c r="D5" s="15">
        <v>2</v>
      </c>
      <c r="E5" s="15">
        <v>9</v>
      </c>
    </row>
    <row r="6" spans="1:5" x14ac:dyDescent="0.3">
      <c r="A6" s="2" t="s">
        <v>5</v>
      </c>
      <c r="B6" s="15">
        <v>8</v>
      </c>
      <c r="C6" s="15">
        <v>1</v>
      </c>
      <c r="D6" s="15">
        <v>3</v>
      </c>
      <c r="E6" s="15">
        <v>12</v>
      </c>
    </row>
    <row r="7" spans="1:5" x14ac:dyDescent="0.3">
      <c r="A7" s="2" t="s">
        <v>7</v>
      </c>
      <c r="B7" s="15">
        <v>7</v>
      </c>
      <c r="C7" s="15">
        <v>3</v>
      </c>
      <c r="D7" s="15">
        <v>6</v>
      </c>
      <c r="E7" s="15">
        <v>16</v>
      </c>
    </row>
    <row r="8" spans="1:5" x14ac:dyDescent="0.3">
      <c r="A8" s="2" t="s">
        <v>4</v>
      </c>
      <c r="B8" s="15">
        <v>4</v>
      </c>
      <c r="C8" s="15">
        <v>4</v>
      </c>
      <c r="D8" s="15">
        <v>2</v>
      </c>
      <c r="E8" s="15">
        <v>10</v>
      </c>
    </row>
    <row r="9" spans="1:5" x14ac:dyDescent="0.3">
      <c r="A9" s="2" t="s">
        <v>17</v>
      </c>
      <c r="B9" s="15">
        <v>23</v>
      </c>
      <c r="C9" s="15">
        <v>11</v>
      </c>
      <c r="D9" s="15">
        <v>13</v>
      </c>
      <c r="E9" s="15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8EE8-A2E9-4840-B753-D7C168644658}">
  <dimension ref="A1:J2"/>
  <sheetViews>
    <sheetView workbookViewId="0">
      <selection activeCell="B20" sqref="B20"/>
    </sheetView>
  </sheetViews>
  <sheetFormatPr defaultRowHeight="14.4" x14ac:dyDescent="0.3"/>
  <cols>
    <col min="1" max="1" width="12.33203125" customWidth="1"/>
    <col min="2" max="2" width="21.44140625" customWidth="1"/>
    <col min="3" max="3" width="21.109375" customWidth="1"/>
  </cols>
  <sheetData>
    <row r="1" spans="1:10" x14ac:dyDescent="0.3">
      <c r="A1" s="8" t="s">
        <v>8</v>
      </c>
      <c r="B1" s="9" t="s">
        <v>9</v>
      </c>
      <c r="C1" s="9" t="s">
        <v>10</v>
      </c>
      <c r="D1" s="5"/>
      <c r="E1" s="6" t="s">
        <v>8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</row>
    <row r="2" spans="1:10" x14ac:dyDescent="0.3">
      <c r="A2" s="8">
        <f>COUNT(law_firm_data!D:D)</f>
        <v>100</v>
      </c>
      <c r="B2" s="9">
        <f>SUM(law_firm_data!D2:D101)</f>
        <v>49128469</v>
      </c>
      <c r="C2" s="9">
        <f>AVERAGE(law_firm_data!D2:D101)</f>
        <v>491284.69</v>
      </c>
      <c r="D2" s="5"/>
      <c r="E2" s="6">
        <v>100</v>
      </c>
      <c r="F2" s="6">
        <f>MAX(law_firm_data!C2:C101)</f>
        <v>29</v>
      </c>
      <c r="G2" s="6">
        <f>MIN(law_firm_data!C2:C101)</f>
        <v>1</v>
      </c>
      <c r="H2" s="6">
        <f>AVERAGE(law_firm_data!C2:C101)</f>
        <v>14.39</v>
      </c>
      <c r="I2" s="6">
        <f>MEDIAN(law_firm_data!C2:C101)</f>
        <v>14</v>
      </c>
      <c r="J2" s="6">
        <f>_xlfn.MODE.SNGL(law_firm_data!C2:C101)</f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1E16-C7AA-4D16-83BF-CBE86AC3DF1C}">
  <dimension ref="A3:B7"/>
  <sheetViews>
    <sheetView workbookViewId="0">
      <selection activeCell="B9" sqref="B9"/>
    </sheetView>
  </sheetViews>
  <sheetFormatPr defaultRowHeight="14.4" x14ac:dyDescent="0.3"/>
  <cols>
    <col min="1" max="1" width="10.77734375" bestFit="1" customWidth="1"/>
    <col min="2" max="2" width="21.109375" style="5" bestFit="1" customWidth="1"/>
  </cols>
  <sheetData>
    <row r="3" spans="1:2" x14ac:dyDescent="0.3">
      <c r="A3" s="10" t="s">
        <v>3</v>
      </c>
      <c r="B3" s="5" t="s">
        <v>18</v>
      </c>
    </row>
    <row r="4" spans="1:2" x14ac:dyDescent="0.3">
      <c r="A4" s="11">
        <v>0</v>
      </c>
      <c r="B4" s="5">
        <v>22121243</v>
      </c>
    </row>
    <row r="5" spans="1:2" x14ac:dyDescent="0.3">
      <c r="A5" s="11">
        <v>1</v>
      </c>
      <c r="B5" s="5">
        <v>27007226</v>
      </c>
    </row>
    <row r="6" spans="1:2" x14ac:dyDescent="0.3">
      <c r="A6" s="11" t="s">
        <v>17</v>
      </c>
      <c r="B6" s="5">
        <v>49128469</v>
      </c>
    </row>
    <row r="7" spans="1:2" x14ac:dyDescent="0.3">
      <c r="B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1A6A-6921-46B5-9C7F-19F8A645152D}">
  <dimension ref="A1:C7"/>
  <sheetViews>
    <sheetView workbookViewId="0">
      <selection activeCell="G10" sqref="G10"/>
    </sheetView>
  </sheetViews>
  <sheetFormatPr defaultRowHeight="14.4" x14ac:dyDescent="0.3"/>
  <cols>
    <col min="1" max="1" width="12.33203125" bestFit="1" customWidth="1"/>
    <col min="2" max="2" width="19.77734375" bestFit="1" customWidth="1"/>
    <col min="3" max="3" width="24" bestFit="1" customWidth="1"/>
  </cols>
  <sheetData>
    <row r="1" spans="1:3" x14ac:dyDescent="0.3">
      <c r="A1" s="10" t="s">
        <v>3</v>
      </c>
      <c r="B1" s="11">
        <v>1</v>
      </c>
    </row>
    <row r="3" spans="1:3" ht="28.8" x14ac:dyDescent="0.3">
      <c r="A3" s="12" t="s">
        <v>20</v>
      </c>
      <c r="B3" s="13" t="s">
        <v>18</v>
      </c>
      <c r="C3" s="13" t="s">
        <v>19</v>
      </c>
    </row>
    <row r="4" spans="1:3" x14ac:dyDescent="0.3">
      <c r="A4" s="11" t="s">
        <v>21</v>
      </c>
      <c r="B4" s="4">
        <v>9714499</v>
      </c>
      <c r="C4" s="4">
        <v>571441.1176470588</v>
      </c>
    </row>
    <row r="5" spans="1:3" x14ac:dyDescent="0.3">
      <c r="A5" s="11" t="s">
        <v>22</v>
      </c>
      <c r="B5" s="4">
        <v>9801613</v>
      </c>
      <c r="C5" s="4">
        <v>544534.0555555555</v>
      </c>
    </row>
    <row r="6" spans="1:3" x14ac:dyDescent="0.3">
      <c r="A6" s="11" t="s">
        <v>23</v>
      </c>
      <c r="B6" s="4">
        <v>7491114</v>
      </c>
      <c r="C6" s="4">
        <v>416173</v>
      </c>
    </row>
    <row r="7" spans="1:3" x14ac:dyDescent="0.3">
      <c r="A7" s="11" t="s">
        <v>17</v>
      </c>
      <c r="B7" s="4">
        <v>27007226</v>
      </c>
      <c r="C7" s="4">
        <v>509570.30188679247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law_firm_data</vt:lpstr>
      <vt:lpstr>unsettled cases</vt:lpstr>
      <vt:lpstr>case-experience-distrubution</vt:lpstr>
      <vt:lpstr>summary_statistics</vt:lpstr>
      <vt:lpstr>Money won</vt:lpstr>
      <vt:lpstr>winnings by 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Ennever</dc:creator>
  <cp:lastModifiedBy>Travis Ennever</cp:lastModifiedBy>
  <dcterms:created xsi:type="dcterms:W3CDTF">2025-12-23T20:40:03Z</dcterms:created>
  <dcterms:modified xsi:type="dcterms:W3CDTF">2025-12-25T19:50:56Z</dcterms:modified>
</cp:coreProperties>
</file>